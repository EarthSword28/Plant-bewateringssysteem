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kdg-my.sharepoint.com/personal/jorden_vannunen_student_kdg_be/Documents/Files/KDG/IoT/ESC/"/>
    </mc:Choice>
  </mc:AlternateContent>
  <xr:revisionPtr revIDLastSave="0" documentId="8_{5A551F2A-EDF2-4096-97DF-DF848AC65598}" xr6:coauthVersionLast="47" xr6:coauthVersionMax="47" xr10:uidLastSave="{00000000-0000-0000-0000-000000000000}"/>
  <bookViews>
    <workbookView xWindow="-108" yWindow="-108" windowWidth="23256" windowHeight="12456" xr2:uid="{DC2076BA-A48A-4115-BD42-2768D2911E3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1" l="1"/>
  <c r="V16" i="1"/>
  <c r="U16" i="1"/>
  <c r="V17" i="1"/>
  <c r="T16" i="1"/>
  <c r="T17" i="1"/>
  <c r="V8" i="1"/>
  <c r="U9" i="1" s="1"/>
  <c r="U8" i="1"/>
  <c r="V7" i="1"/>
  <c r="T8" i="1"/>
  <c r="T7" i="1"/>
  <c r="U7" i="1"/>
  <c r="S16" i="1"/>
  <c r="S17" i="1"/>
  <c r="S15" i="1"/>
  <c r="S8" i="1"/>
  <c r="S9" i="1"/>
  <c r="S7" i="1"/>
  <c r="R16" i="1"/>
  <c r="R17" i="1"/>
  <c r="R15" i="1"/>
  <c r="R8" i="1"/>
  <c r="R9" i="1"/>
  <c r="R7" i="1"/>
  <c r="D16" i="1"/>
  <c r="E16" i="1"/>
  <c r="D17" i="1"/>
  <c r="E17" i="1"/>
  <c r="E15" i="1"/>
  <c r="D15" i="1"/>
  <c r="E7" i="1"/>
  <c r="E8" i="1"/>
  <c r="E9" i="1"/>
  <c r="D8" i="1"/>
  <c r="D9" i="1"/>
  <c r="D7" i="1"/>
</calcChain>
</file>

<file path=xl/sharedStrings.xml><?xml version="1.0" encoding="utf-8"?>
<sst xmlns="http://schemas.openxmlformats.org/spreadsheetml/2006/main" count="24" uniqueCount="13">
  <si>
    <t>Droog</t>
  </si>
  <si>
    <t>Vochtig</t>
  </si>
  <si>
    <t>Nat</t>
  </si>
  <si>
    <t>Verwacht Bereik</t>
  </si>
  <si>
    <t>Arduino</t>
  </si>
  <si>
    <t>ESP32</t>
  </si>
  <si>
    <t>Meting nr:</t>
  </si>
  <si>
    <t>resistance</t>
  </si>
  <si>
    <t>capacitive</t>
  </si>
  <si>
    <t>Gemeten Minimum waarden</t>
  </si>
  <si>
    <t>Gemeten maximum waarden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</si>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</sst>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Standaard" xfId="0" builtinId="0"/>
  </cellStyles>
  <dxfs count="6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Verwacht</a:t>
            </a:r>
            <a:r>
              <a:rPr lang="nl-BE" baseline="0"/>
              <a:t> Bereik weerstandsmeter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Droog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Blad1!$D$1:$E$1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Blad1!$D$3:$E$3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27-4593-94AE-FB728C50420F}"/>
            </c:ext>
          </c:extLst>
        </c:ser>
        <c:ser>
          <c:idx val="1"/>
          <c:order val="1"/>
          <c:tx>
            <c:v>Vochtig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Blad1!$D$1:$E$1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Blad1!$D$4:$E$4</c:f>
              <c:numCache>
                <c:formatCode>General</c:formatCode>
                <c:ptCount val="2"/>
                <c:pt idx="0">
                  <c:v>301</c:v>
                </c:pt>
                <c:pt idx="1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27-4593-94AE-FB728C50420F}"/>
            </c:ext>
          </c:extLst>
        </c:ser>
        <c:ser>
          <c:idx val="2"/>
          <c:order val="2"/>
          <c:tx>
            <c:v>Nat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Blad1!$D$1:$E$1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Blad1!$D$5:$E$5</c:f>
              <c:numCache>
                <c:formatCode>General</c:formatCode>
                <c:ptCount val="2"/>
                <c:pt idx="0">
                  <c:v>701</c:v>
                </c:pt>
                <c:pt idx="1">
                  <c:v>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27-4593-94AE-FB728C504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651456"/>
        <c:axId val="2032654816"/>
      </c:scatterChart>
      <c:valAx>
        <c:axId val="2032651456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32654816"/>
        <c:crosses val="autoZero"/>
        <c:crossBetween val="midCat"/>
        <c:majorUnit val="1"/>
        <c:minorUnit val="0.5"/>
      </c:valAx>
      <c:valAx>
        <c:axId val="20326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3265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Verwacht Bereik Capaciteitsmeter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Droog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Blad1!$D$1:$E$1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Blad1!$D$15:$E$15</c:f>
              <c:numCache>
                <c:formatCode>General</c:formatCode>
                <c:ptCount val="2"/>
                <c:pt idx="0">
                  <c:v>2080</c:v>
                </c:pt>
                <c:pt idx="1">
                  <c:v>1720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B-4331-89F1-3B5C4F5A5C54}"/>
            </c:ext>
          </c:extLst>
        </c:ser>
        <c:ser>
          <c:idx val="1"/>
          <c:order val="1"/>
          <c:tx>
            <c:strRef>
              <c:f>Blad1!$C$12</c:f>
              <c:strCache>
                <c:ptCount val="1"/>
                <c:pt idx="0">
                  <c:v>Vochtig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Blad1!$D$1:$E$1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Blad1!$D$16:$E$16</c:f>
              <c:numCache>
                <c:formatCode>General</c:formatCode>
                <c:ptCount val="2"/>
                <c:pt idx="0">
                  <c:v>1716</c:v>
                </c:pt>
                <c:pt idx="1">
                  <c:v>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1B-4331-89F1-3B5C4F5A5C54}"/>
            </c:ext>
          </c:extLst>
        </c:ser>
        <c:ser>
          <c:idx val="2"/>
          <c:order val="2"/>
          <c:tx>
            <c:strRef>
              <c:f>Blad1!$C$17</c:f>
              <c:strCache>
                <c:ptCount val="1"/>
                <c:pt idx="0">
                  <c:v>Nat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Blad1!$D$1:$E$1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Blad1!$D$17:$E$17</c:f>
              <c:numCache>
                <c:formatCode>General</c:formatCode>
                <c:ptCount val="2"/>
                <c:pt idx="0">
                  <c:v>1396</c:v>
                </c:pt>
                <c:pt idx="1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1B-4331-89F1-3B5C4F5A5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512992"/>
        <c:axId val="1987513472"/>
      </c:scatterChart>
      <c:valAx>
        <c:axId val="198751299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7513472"/>
        <c:crosses val="autoZero"/>
        <c:crossBetween val="midCat"/>
        <c:majorUnit val="1"/>
        <c:minorUnit val="0.5"/>
      </c:valAx>
      <c:valAx>
        <c:axId val="19875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751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Gemeten</a:t>
            </a:r>
            <a:r>
              <a:rPr lang="nl-BE" baseline="0"/>
              <a:t> Waarden Weerstandsmeter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Blad1!$C$7</c:f>
              <c:strCache>
                <c:ptCount val="1"/>
                <c:pt idx="0">
                  <c:v>Droog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Blad1!$G$1:$P$1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Blad1!$G$7:$P$7</c:f>
              <c:numCache>
                <c:formatCode>General</c:formatCode>
                <c:ptCount val="10"/>
                <c:pt idx="0">
                  <c:v>0</c:v>
                </c:pt>
                <c:pt idx="1">
                  <c:v>1274</c:v>
                </c:pt>
                <c:pt idx="2">
                  <c:v>1493</c:v>
                </c:pt>
                <c:pt idx="3">
                  <c:v>1721</c:v>
                </c:pt>
                <c:pt idx="4">
                  <c:v>0</c:v>
                </c:pt>
                <c:pt idx="5">
                  <c:v>0</c:v>
                </c:pt>
                <c:pt idx="6">
                  <c:v>1333</c:v>
                </c:pt>
                <c:pt idx="7">
                  <c:v>1553</c:v>
                </c:pt>
                <c:pt idx="8">
                  <c:v>1864</c:v>
                </c:pt>
                <c:pt idx="9">
                  <c:v>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D-44A6-948C-B8641946AEB8}"/>
            </c:ext>
          </c:extLst>
        </c:ser>
        <c:ser>
          <c:idx val="1"/>
          <c:order val="1"/>
          <c:tx>
            <c:strRef>
              <c:f>Blad1!$C$8</c:f>
              <c:strCache>
                <c:ptCount val="1"/>
                <c:pt idx="0">
                  <c:v>Vochtig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Blad1!$G$1:$P$1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Blad1!$G$8:$P$8</c:f>
              <c:numCache>
                <c:formatCode>General</c:formatCode>
                <c:ptCount val="10"/>
                <c:pt idx="0">
                  <c:v>2256</c:v>
                </c:pt>
                <c:pt idx="1">
                  <c:v>2339</c:v>
                </c:pt>
                <c:pt idx="2">
                  <c:v>2415</c:v>
                </c:pt>
                <c:pt idx="3">
                  <c:v>2609</c:v>
                </c:pt>
                <c:pt idx="4">
                  <c:v>2519</c:v>
                </c:pt>
                <c:pt idx="5">
                  <c:v>2289</c:v>
                </c:pt>
                <c:pt idx="6">
                  <c:v>2356</c:v>
                </c:pt>
                <c:pt idx="7">
                  <c:v>2435</c:v>
                </c:pt>
                <c:pt idx="8">
                  <c:v>2623</c:v>
                </c:pt>
                <c:pt idx="9">
                  <c:v>2543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2D-44A6-948C-B8641946AEB8}"/>
            </c:ext>
          </c:extLst>
        </c:ser>
        <c:ser>
          <c:idx val="2"/>
          <c:order val="2"/>
          <c:tx>
            <c:strRef>
              <c:f>Blad1!$C$9</c:f>
              <c:strCache>
                <c:ptCount val="1"/>
                <c:pt idx="0">
                  <c:v>Nat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Blad1!$G$1:$P$1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Blad1!$G$9:$P$9</c:f>
              <c:numCache>
                <c:formatCode>General</c:formatCode>
                <c:ptCount val="10"/>
                <c:pt idx="0">
                  <c:v>2470</c:v>
                </c:pt>
                <c:pt idx="1">
                  <c:v>2649</c:v>
                </c:pt>
                <c:pt idx="2">
                  <c:v>2722</c:v>
                </c:pt>
                <c:pt idx="3">
                  <c:v>2717</c:v>
                </c:pt>
                <c:pt idx="4">
                  <c:v>2711</c:v>
                </c:pt>
                <c:pt idx="5">
                  <c:v>2526</c:v>
                </c:pt>
                <c:pt idx="6">
                  <c:v>2672</c:v>
                </c:pt>
                <c:pt idx="7">
                  <c:v>2736</c:v>
                </c:pt>
                <c:pt idx="8">
                  <c:v>2735</c:v>
                </c:pt>
                <c:pt idx="9">
                  <c:v>2730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2D-44A6-948C-B8641946A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55760"/>
        <c:axId val="2140858160"/>
      </c:scatterChart>
      <c:valAx>
        <c:axId val="21408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140858160"/>
        <c:crosses val="autoZero"/>
        <c:crossBetween val="midCat"/>
      </c:valAx>
      <c:valAx>
        <c:axId val="21408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14085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Gemeten Waarden</a:t>
            </a:r>
            <a:r>
              <a:rPr lang="nl-BE" baseline="0"/>
              <a:t> Capaciteitsmeter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Blad1!$C$15</c:f>
              <c:strCache>
                <c:ptCount val="1"/>
                <c:pt idx="0">
                  <c:v>Droog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Blad1!$G$1:$P$1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Blad1!$G$15:$P$15</c:f>
              <c:numCache>
                <c:formatCode>General</c:formatCode>
                <c:ptCount val="10"/>
                <c:pt idx="0">
                  <c:v>2871</c:v>
                </c:pt>
                <c:pt idx="1">
                  <c:v>2883</c:v>
                </c:pt>
                <c:pt idx="2">
                  <c:v>2864</c:v>
                </c:pt>
                <c:pt idx="3">
                  <c:v>2862</c:v>
                </c:pt>
                <c:pt idx="4">
                  <c:v>2890</c:v>
                </c:pt>
                <c:pt idx="5">
                  <c:v>2890</c:v>
                </c:pt>
                <c:pt idx="6">
                  <c:v>2905</c:v>
                </c:pt>
                <c:pt idx="7">
                  <c:v>2874</c:v>
                </c:pt>
                <c:pt idx="8">
                  <c:v>2977</c:v>
                </c:pt>
                <c:pt idx="9">
                  <c:v>2906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A7-4772-8032-3A26CCAB2E1B}"/>
            </c:ext>
          </c:extLst>
        </c:ser>
        <c:ser>
          <c:idx val="1"/>
          <c:order val="1"/>
          <c:tx>
            <c:strRef>
              <c:f>Blad1!$C$16</c:f>
              <c:strCache>
                <c:ptCount val="1"/>
                <c:pt idx="0">
                  <c:v>Vochtig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Blad1!$G$1:$P$1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Blad1!$G$16:$P$16</c:f>
              <c:numCache>
                <c:formatCode>General</c:formatCode>
                <c:ptCount val="10"/>
                <c:pt idx="0">
                  <c:v>2786</c:v>
                </c:pt>
                <c:pt idx="1">
                  <c:v>2704</c:v>
                </c:pt>
                <c:pt idx="2">
                  <c:v>2865</c:v>
                </c:pt>
                <c:pt idx="3">
                  <c:v>2800</c:v>
                </c:pt>
                <c:pt idx="4">
                  <c:v>2819</c:v>
                </c:pt>
                <c:pt idx="5">
                  <c:v>2800</c:v>
                </c:pt>
                <c:pt idx="6">
                  <c:v>2725</c:v>
                </c:pt>
                <c:pt idx="7">
                  <c:v>2879</c:v>
                </c:pt>
                <c:pt idx="8">
                  <c:v>2818</c:v>
                </c:pt>
                <c:pt idx="9">
                  <c:v>2833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A7-4772-8032-3A26CCAB2E1B}"/>
            </c:ext>
          </c:extLst>
        </c:ser>
        <c:ser>
          <c:idx val="2"/>
          <c:order val="2"/>
          <c:tx>
            <c:strRef>
              <c:f>Blad1!$C$17</c:f>
              <c:strCache>
                <c:ptCount val="1"/>
                <c:pt idx="0">
                  <c:v>Nat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Blad1!$G$1:$P$1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Blad1!$G$17:$P$17</c:f>
              <c:numCache>
                <c:formatCode>General</c:formatCode>
                <c:ptCount val="10"/>
                <c:pt idx="0">
                  <c:v>2193</c:v>
                </c:pt>
                <c:pt idx="1">
                  <c:v>1805</c:v>
                </c:pt>
                <c:pt idx="2">
                  <c:v>2000</c:v>
                </c:pt>
                <c:pt idx="3">
                  <c:v>2061</c:v>
                </c:pt>
                <c:pt idx="4">
                  <c:v>1917</c:v>
                </c:pt>
                <c:pt idx="5">
                  <c:v>2222</c:v>
                </c:pt>
                <c:pt idx="6">
                  <c:v>1834</c:v>
                </c:pt>
                <c:pt idx="7">
                  <c:v>2026</c:v>
                </c:pt>
                <c:pt idx="8">
                  <c:v>2071</c:v>
                </c:pt>
                <c:pt idx="9">
                  <c:v>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A7-4772-8032-3A26CCAB2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207"/>
        <c:axId val="1735647"/>
      </c:scatterChart>
      <c:valAx>
        <c:axId val="173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35647"/>
        <c:crosses val="autoZero"/>
        <c:crossBetween val="midCat"/>
      </c:valAx>
      <c:valAx>
        <c:axId val="173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34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17</xdr:row>
      <xdr:rowOff>148590</xdr:rowOff>
    </xdr:from>
    <xdr:to>
      <xdr:col>7</xdr:col>
      <xdr:colOff>480060</xdr:colOff>
      <xdr:row>29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FAF941F-91FF-3A8D-8CFF-6844E32E7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373380</xdr:colOff>
      <xdr:row>29</xdr:row>
      <xdr:rowOff>11430</xdr:rowOff>
    </xdr:from>
    <xdr:to>
      <xdr:col>7</xdr:col>
      <xdr:colOff>495300</xdr:colOff>
      <xdr:row>40</xdr:row>
      <xdr:rowOff>175260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822C48AD-8B7B-A169-9DF4-27551759D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495300</xdr:colOff>
      <xdr:row>17</xdr:row>
      <xdr:rowOff>72390</xdr:rowOff>
    </xdr:from>
    <xdr:to>
      <xdr:col>15</xdr:col>
      <xdr:colOff>190500</xdr:colOff>
      <xdr:row>32</xdr:row>
      <xdr:rowOff>72390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6254A2D0-CAD1-D903-05AD-746902323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190500</xdr:colOff>
      <xdr:row>17</xdr:row>
      <xdr:rowOff>110490</xdr:rowOff>
    </xdr:from>
    <xdr:to>
      <xdr:col>22</xdr:col>
      <xdr:colOff>495300</xdr:colOff>
      <xdr:row>32</xdr:row>
      <xdr:rowOff>110490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E8103449-ECCF-EC9E-1FF7-02C8859A3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3D33-EC72-4E78-BD6F-83BB17035678}">
  <dimension ref="A1:V17"/>
  <sheetViews>
    <sheetView tabSelected="1" zoomScaleNormal="100" workbookViewId="0">
      <selection activeCell="Q17" sqref="Q17"/>
    </sheetView>
  </sheetViews>
  <sheetFormatPr defaultRowHeight="14.4" x14ac:dyDescent="0.3"/>
  <sheetData>
    <row r="1" spans="1:22" x14ac:dyDescent="0.3">
      <c r="C1" t="s">
        <v>6</v>
      </c>
      <c r="D1">
        <v>1</v>
      </c>
      <c r="E1">
        <v>2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R1" t="s">
        <v>11</v>
      </c>
      <c r="S1" t="s">
        <v>12</v>
      </c>
    </row>
    <row r="2" spans="1:22" x14ac:dyDescent="0.3">
      <c r="D2" s="2" t="s">
        <v>3</v>
      </c>
      <c r="E2" s="2"/>
      <c r="F2" s="1"/>
      <c r="G2" s="2" t="s">
        <v>9</v>
      </c>
      <c r="H2" s="2"/>
      <c r="I2" s="2"/>
      <c r="J2" s="2"/>
      <c r="K2" s="2"/>
      <c r="L2" s="2" t="s">
        <v>10</v>
      </c>
      <c r="M2" s="2"/>
      <c r="N2" s="2"/>
      <c r="O2" s="2"/>
      <c r="P2" s="2"/>
    </row>
    <row r="3" spans="1:22" x14ac:dyDescent="0.3">
      <c r="A3" s="3" t="s">
        <v>7</v>
      </c>
      <c r="B3" s="3" t="s">
        <v>4</v>
      </c>
      <c r="C3" t="s">
        <v>0</v>
      </c>
      <c r="D3">
        <v>0</v>
      </c>
      <c r="E3">
        <v>300</v>
      </c>
    </row>
    <row r="4" spans="1:22" x14ac:dyDescent="0.3">
      <c r="A4" s="3"/>
      <c r="B4" s="3"/>
      <c r="C4" t="s">
        <v>1</v>
      </c>
      <c r="D4">
        <v>301</v>
      </c>
      <c r="E4">
        <v>700</v>
      </c>
    </row>
    <row r="5" spans="1:22" x14ac:dyDescent="0.3">
      <c r="A5" s="3"/>
      <c r="B5" s="3"/>
      <c r="C5" t="s">
        <v>2</v>
      </c>
      <c r="D5">
        <v>701</v>
      </c>
      <c r="E5">
        <v>950</v>
      </c>
    </row>
    <row r="6" spans="1:22" x14ac:dyDescent="0.3">
      <c r="A6" s="3"/>
    </row>
    <row r="7" spans="1:22" x14ac:dyDescent="0.3">
      <c r="A7" s="3"/>
      <c r="B7" s="3" t="s">
        <v>5</v>
      </c>
      <c r="C7" t="s">
        <v>0</v>
      </c>
      <c r="D7">
        <f>D3*4</f>
        <v>0</v>
      </c>
      <c r="E7">
        <f>E3*4</f>
        <v>1200</v>
      </c>
      <c r="G7">
        <v>0</v>
      </c>
      <c r="H7">
        <v>1274</v>
      </c>
      <c r="I7">
        <v>1493</v>
      </c>
      <c r="J7">
        <v>1721</v>
      </c>
      <c r="K7">
        <v>0</v>
      </c>
      <c r="L7">
        <v>0</v>
      </c>
      <c r="M7">
        <v>1333</v>
      </c>
      <c r="N7">
        <v>1553</v>
      </c>
      <c r="O7">
        <v>1864</v>
      </c>
      <c r="P7">
        <v>384</v>
      </c>
      <c r="R7">
        <f>MIN(G7:P7)</f>
        <v>0</v>
      </c>
      <c r="S7">
        <f>MAX(G7:P7)</f>
        <v>1864</v>
      </c>
      <c r="T7">
        <f>(ABS(S7-R8))/2</f>
        <v>196</v>
      </c>
      <c r="U7" s="4">
        <f>R7</f>
        <v>0</v>
      </c>
      <c r="V7" s="4">
        <f>IF(GESTEP(S7,R8),TRUNC(S7-T7),TRUNC(S7+T7))</f>
        <v>2060</v>
      </c>
    </row>
    <row r="8" spans="1:22" x14ac:dyDescent="0.3">
      <c r="A8" s="3"/>
      <c r="B8" s="3"/>
      <c r="C8" t="s">
        <v>1</v>
      </c>
      <c r="D8">
        <f t="shared" ref="D8:E9" si="0">D4*4</f>
        <v>1204</v>
      </c>
      <c r="E8">
        <f t="shared" si="0"/>
        <v>2800</v>
      </c>
      <c r="G8">
        <v>2256</v>
      </c>
      <c r="H8">
        <v>2339</v>
      </c>
      <c r="I8">
        <v>2415</v>
      </c>
      <c r="J8">
        <v>2609</v>
      </c>
      <c r="K8">
        <v>2519</v>
      </c>
      <c r="L8">
        <v>2289</v>
      </c>
      <c r="M8">
        <v>2356</v>
      </c>
      <c r="N8">
        <v>2435</v>
      </c>
      <c r="O8">
        <v>2623</v>
      </c>
      <c r="P8">
        <v>2543</v>
      </c>
      <c r="R8">
        <f t="shared" ref="R8:R9" si="1">MIN(G8:P8)</f>
        <v>2256</v>
      </c>
      <c r="S8">
        <f t="shared" ref="S8:S9" si="2">MAX(G8:P8)</f>
        <v>2623</v>
      </c>
      <c r="T8">
        <f>(ABS(S8-R9))/2</f>
        <v>76.5</v>
      </c>
      <c r="U8" s="4">
        <f>V7+1</f>
        <v>2061</v>
      </c>
      <c r="V8" s="4">
        <f>IF(GESTEP(S8,R9),TRUNC(S8-T8),TRUNC(S8+T8))</f>
        <v>2546</v>
      </c>
    </row>
    <row r="9" spans="1:22" x14ac:dyDescent="0.3">
      <c r="A9" s="3"/>
      <c r="B9" s="3"/>
      <c r="C9" t="s">
        <v>2</v>
      </c>
      <c r="D9">
        <f t="shared" si="0"/>
        <v>2804</v>
      </c>
      <c r="E9">
        <f t="shared" si="0"/>
        <v>3800</v>
      </c>
      <c r="G9">
        <v>2470</v>
      </c>
      <c r="H9">
        <v>2649</v>
      </c>
      <c r="I9">
        <v>2722</v>
      </c>
      <c r="J9">
        <v>2717</v>
      </c>
      <c r="K9">
        <v>2711</v>
      </c>
      <c r="L9">
        <v>2526</v>
      </c>
      <c r="M9">
        <v>2672</v>
      </c>
      <c r="N9">
        <v>2736</v>
      </c>
      <c r="O9">
        <v>2735</v>
      </c>
      <c r="P9">
        <v>2730</v>
      </c>
      <c r="R9">
        <f t="shared" si="1"/>
        <v>2470</v>
      </c>
      <c r="S9">
        <f t="shared" si="2"/>
        <v>2736</v>
      </c>
      <c r="U9" s="4">
        <f>V8+1</f>
        <v>2547</v>
      </c>
      <c r="V9" s="4">
        <v>4095</v>
      </c>
    </row>
    <row r="11" spans="1:22" x14ac:dyDescent="0.3">
      <c r="A11" s="3" t="s">
        <v>8</v>
      </c>
      <c r="B11" s="3" t="s">
        <v>4</v>
      </c>
      <c r="C11" t="s">
        <v>0</v>
      </c>
      <c r="D11">
        <v>520</v>
      </c>
      <c r="E11">
        <v>430</v>
      </c>
    </row>
    <row r="12" spans="1:22" x14ac:dyDescent="0.3">
      <c r="A12" s="3"/>
      <c r="B12" s="3"/>
      <c r="C12" t="s">
        <v>1</v>
      </c>
      <c r="D12">
        <v>429</v>
      </c>
      <c r="E12">
        <v>350</v>
      </c>
    </row>
    <row r="13" spans="1:22" x14ac:dyDescent="0.3">
      <c r="A13" s="3"/>
      <c r="B13" s="3"/>
      <c r="C13" t="s">
        <v>2</v>
      </c>
      <c r="D13">
        <v>349</v>
      </c>
      <c r="E13">
        <v>260</v>
      </c>
    </row>
    <row r="14" spans="1:22" x14ac:dyDescent="0.3">
      <c r="A14" s="3"/>
    </row>
    <row r="15" spans="1:22" x14ac:dyDescent="0.3">
      <c r="A15" s="3"/>
      <c r="B15" s="3" t="s">
        <v>5</v>
      </c>
      <c r="C15" t="s">
        <v>0</v>
      </c>
      <c r="D15">
        <f>D11*4</f>
        <v>2080</v>
      </c>
      <c r="E15">
        <f>E11*4</f>
        <v>1720</v>
      </c>
      <c r="G15">
        <v>2871</v>
      </c>
      <c r="H15">
        <v>2883</v>
      </c>
      <c r="I15">
        <v>2864</v>
      </c>
      <c r="J15">
        <v>2862</v>
      </c>
      <c r="K15">
        <v>2890</v>
      </c>
      <c r="L15">
        <v>2890</v>
      </c>
      <c r="M15">
        <v>2905</v>
      </c>
      <c r="N15">
        <v>2874</v>
      </c>
      <c r="O15">
        <v>2977</v>
      </c>
      <c r="P15">
        <v>2906</v>
      </c>
      <c r="R15">
        <f>MIN(G15:P15)</f>
        <v>2862</v>
      </c>
      <c r="S15">
        <f>MAX(G15:P15)</f>
        <v>2977</v>
      </c>
      <c r="U15" s="4">
        <f>V16+1</f>
        <v>2872</v>
      </c>
      <c r="V15" s="4">
        <v>4095</v>
      </c>
    </row>
    <row r="16" spans="1:22" x14ac:dyDescent="0.3">
      <c r="A16" s="3"/>
      <c r="B16" s="3"/>
      <c r="C16" t="s">
        <v>1</v>
      </c>
      <c r="D16">
        <f t="shared" ref="D16:E16" si="3">D12*4</f>
        <v>1716</v>
      </c>
      <c r="E16">
        <f t="shared" si="3"/>
        <v>1400</v>
      </c>
      <c r="G16">
        <v>2786</v>
      </c>
      <c r="H16">
        <v>2704</v>
      </c>
      <c r="I16">
        <v>2865</v>
      </c>
      <c r="J16">
        <v>2800</v>
      </c>
      <c r="K16">
        <v>2819</v>
      </c>
      <c r="L16">
        <v>2800</v>
      </c>
      <c r="M16">
        <v>2725</v>
      </c>
      <c r="N16">
        <v>2879</v>
      </c>
      <c r="O16">
        <v>2818</v>
      </c>
      <c r="P16">
        <v>2833</v>
      </c>
      <c r="R16">
        <f t="shared" ref="R16:R17" si="4">MIN(G16:P16)</f>
        <v>2704</v>
      </c>
      <c r="S16">
        <f t="shared" ref="S16:S17" si="5">MAX(G16:P16)</f>
        <v>2879</v>
      </c>
      <c r="T16">
        <f>TRUNC(ABS(S16-R15)/2)</f>
        <v>8</v>
      </c>
      <c r="U16" s="4">
        <f>V17+1</f>
        <v>2464</v>
      </c>
      <c r="V16" s="4">
        <f>IF(GESTEP(S16,R15),S16-T16,S16+T16)</f>
        <v>2871</v>
      </c>
    </row>
    <row r="17" spans="1:22" x14ac:dyDescent="0.3">
      <c r="A17" s="3"/>
      <c r="B17" s="3"/>
      <c r="C17" t="s">
        <v>2</v>
      </c>
      <c r="D17">
        <f t="shared" ref="D17:E17" si="6">D13*4</f>
        <v>1396</v>
      </c>
      <c r="E17">
        <f t="shared" si="6"/>
        <v>1040</v>
      </c>
      <c r="G17">
        <v>2193</v>
      </c>
      <c r="H17">
        <v>1805</v>
      </c>
      <c r="I17">
        <v>2000</v>
      </c>
      <c r="J17">
        <v>2061</v>
      </c>
      <c r="K17">
        <v>1917</v>
      </c>
      <c r="L17">
        <v>2222</v>
      </c>
      <c r="M17">
        <v>1834</v>
      </c>
      <c r="N17">
        <v>2026</v>
      </c>
      <c r="O17">
        <v>2071</v>
      </c>
      <c r="P17">
        <v>1945</v>
      </c>
      <c r="R17">
        <f t="shared" si="4"/>
        <v>1805</v>
      </c>
      <c r="S17">
        <f t="shared" si="5"/>
        <v>2222</v>
      </c>
      <c r="T17">
        <f>TRUNC(ABS(S17-R16)/2)</f>
        <v>241</v>
      </c>
      <c r="U17" s="4">
        <v>0</v>
      </c>
      <c r="V17" s="4">
        <f>IF(GESTEP(S17,R16),S17-T17,S17+T17)</f>
        <v>2463</v>
      </c>
    </row>
  </sheetData>
  <mergeCells count="9">
    <mergeCell ref="B11:B13"/>
    <mergeCell ref="B15:B17"/>
    <mergeCell ref="A3:A9"/>
    <mergeCell ref="A11:A17"/>
    <mergeCell ref="G2:K2"/>
    <mergeCell ref="L2:P2"/>
    <mergeCell ref="D2:E2"/>
    <mergeCell ref="B3:B5"/>
    <mergeCell ref="B7:B9"/>
  </mergeCells>
  <conditionalFormatting sqref="G7:P7">
    <cfRule type="top10" dxfId="10" priority="20" bottom="1" rank="1"/>
    <cfRule type="top10" dxfId="11" priority="21" rank="1"/>
    <cfRule type="cellIs" dxfId="9" priority="2" operator="greaterThanOrEqual">
      <formula>$R$8</formula>
    </cfRule>
  </conditionalFormatting>
  <conditionalFormatting sqref="G8:P8">
    <cfRule type="top10" dxfId="4" priority="18" bottom="1" rank="1"/>
    <cfRule type="top10" dxfId="5" priority="19" rank="1"/>
    <cfRule type="cellIs" dxfId="6" priority="3" operator="lessThanOrEqual">
      <formula>$S$7</formula>
    </cfRule>
    <cfRule type="cellIs" dxfId="3" priority="1" operator="greaterThanOrEqual">
      <formula>$R$9</formula>
    </cfRule>
  </conditionalFormatting>
  <conditionalFormatting sqref="G9:P9">
    <cfRule type="top10" dxfId="42" priority="16" bottom="1" rank="1"/>
    <cfRule type="top10" dxfId="41" priority="17" rank="1"/>
    <cfRule type="cellIs" dxfId="40" priority="4" operator="lessThanOrEqual">
      <formula>$S$8</formula>
    </cfRule>
  </conditionalFormatting>
  <conditionalFormatting sqref="G16:P16">
    <cfRule type="top10" dxfId="39" priority="14" bottom="1" rank="1"/>
    <cfRule type="top10" dxfId="38" priority="15" rank="1"/>
    <cfRule type="cellIs" dxfId="37" priority="7" operator="lessThanOrEqual">
      <formula>$S$17</formula>
    </cfRule>
    <cfRule type="cellIs" dxfId="36" priority="5" operator="greaterThanOrEqual">
      <formula>$R$15</formula>
    </cfRule>
  </conditionalFormatting>
  <conditionalFormatting sqref="G17:P17">
    <cfRule type="top10" dxfId="35" priority="12" bottom="1" rank="1"/>
    <cfRule type="top10" dxfId="34" priority="13" rank="1"/>
  </conditionalFormatting>
  <conditionalFormatting sqref="G15:P15">
    <cfRule type="top10" dxfId="33" priority="11" rank="1"/>
    <cfRule type="top10" dxfId="32" priority="10" bottom="1" rank="1"/>
    <cfRule type="cellIs" dxfId="31" priority="9" operator="lessThanOrEqual">
      <formula>$S$16</formula>
    </cfRule>
  </conditionalFormatting>
  <conditionalFormatting sqref="G17:O17">
    <cfRule type="cellIs" dxfId="30" priority="6" operator="greaterThanOrEqual">
      <formula>$R$16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Nunen Jorden</dc:creator>
  <cp:lastModifiedBy>van Nunen Jorden</cp:lastModifiedBy>
  <dcterms:created xsi:type="dcterms:W3CDTF">2025-02-10T08:20:20Z</dcterms:created>
  <dcterms:modified xsi:type="dcterms:W3CDTF">2025-02-10T11:29:56Z</dcterms:modified>
</cp:coreProperties>
</file>